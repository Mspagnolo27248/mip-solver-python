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Mspag\OneDrive\Desktop\inv-excel-decomp\"/>
    </mc:Choice>
  </mc:AlternateContent>
  <xr:revisionPtr revIDLastSave="0" documentId="13_ncr:1_{2364B1F4-7526-45FC-B9C6-289A3C8BD82D}" xr6:coauthVersionLast="47" xr6:coauthVersionMax="47" xr10:uidLastSave="{00000000-0000-0000-0000-000000000000}"/>
  <bookViews>
    <workbookView xWindow="-120" yWindow="-120" windowWidth="20730" windowHeight="11040" xr2:uid="{00000000-000D-0000-FFFF-FFFF00000000}"/>
  </bookViews>
  <sheets>
    <sheet name="Netbacks" sheetId="1" r:id="rId1"/>
    <sheet name="How to fill this in" sheetId="2" r:id="rId2"/>
  </sheets>
  <definedNames>
    <definedName name="_xlnm._FilterDatabase" localSheetId="0" hidden="1">Netbacks!$A$1:$L$32</definedName>
  </definedNames>
  <calcPr calcId="0"/>
</workbook>
</file>

<file path=xl/sharedStrings.xml><?xml version="1.0" encoding="utf-8"?>
<sst xmlns="http://schemas.openxmlformats.org/spreadsheetml/2006/main" count="158" uniqueCount="102">
  <si>
    <t>Price this</t>
  </si>
  <si>
    <t>Product</t>
  </si>
  <si>
    <t>Netback $/gal (gross profit)</t>
  </si>
  <si>
    <t>Type</t>
  </si>
  <si>
    <t>Demand 42d (gal)</t>
  </si>
  <si>
    <t>of which sales</t>
  </si>
  <si>
    <t>of which forecast</t>
  </si>
  <si>
    <t>of which blends</t>
  </si>
  <si>
    <t>% of demand</t>
  </si>
  <si>
    <t>Cumulative %</t>
  </si>
  <si>
    <t>Model code</t>
  </si>
  <si>
    <t>Note</t>
  </si>
  <si>
    <t>DSL</t>
  </si>
  <si>
    <t>Finished diesel</t>
  </si>
  <si>
    <t>4305</t>
  </si>
  <si>
    <t>KENDEX 0150</t>
  </si>
  <si>
    <t>9704</t>
  </si>
  <si>
    <t>Tracked in the model as 9704; price the grade it sells as.</t>
  </si>
  <si>
    <t>4115</t>
  </si>
  <si>
    <t>KENSOL 48H</t>
  </si>
  <si>
    <t>9103</t>
  </si>
  <si>
    <t>PLATFORMER CHARGE (NAPHTHA)</t>
  </si>
  <si>
    <t>4315</t>
  </si>
  <si>
    <t>KENDEX 0150H</t>
  </si>
  <si>
    <t>4118</t>
  </si>
  <si>
    <t>KENSOL 50H</t>
  </si>
  <si>
    <t>4129</t>
  </si>
  <si>
    <t>KENSOL 61H</t>
  </si>
  <si>
    <t>4309</t>
  </si>
  <si>
    <t>KENDEX 0750</t>
  </si>
  <si>
    <t>4451</t>
  </si>
  <si>
    <t>KENWAX MED NEUTRAL SLACK WAX</t>
  </si>
  <si>
    <t>4327</t>
  </si>
  <si>
    <t>KENDEX 0060H</t>
  </si>
  <si>
    <t>4329</t>
  </si>
  <si>
    <t>Tracked in the model as 4329; price the grade it sells as.</t>
  </si>
  <si>
    <t>4111</t>
  </si>
  <si>
    <t>KENSOL 30</t>
  </si>
  <si>
    <t>4319</t>
  </si>
  <si>
    <t>ARGOLD</t>
  </si>
  <si>
    <t>4317</t>
  </si>
  <si>
    <t>KENDEX 0846</t>
  </si>
  <si>
    <t>9207</t>
  </si>
  <si>
    <t>KENDEX 0834</t>
  </si>
  <si>
    <t>4554</t>
  </si>
  <si>
    <t>Tracked in the model as 4554; price the grade it sells as.</t>
  </si>
  <si>
    <t>4318</t>
  </si>
  <si>
    <t>ARGOLD LEGACY</t>
  </si>
  <si>
    <t>9703</t>
  </si>
  <si>
    <t>KENSOL 61 UNHT</t>
  </si>
  <si>
    <t>4459</t>
  </si>
  <si>
    <t>KENWAX 0111 PETROLATUM</t>
  </si>
  <si>
    <t>9720</t>
  </si>
  <si>
    <t>DEWAXED, UNEXT LN CHARGE</t>
  </si>
  <si>
    <t>4449</t>
  </si>
  <si>
    <t>KENWAX LIGHT NEUTRAL SLACK WAX</t>
  </si>
  <si>
    <t>4555</t>
  </si>
  <si>
    <t>LR RESINS</t>
  </si>
  <si>
    <t>4454</t>
  </si>
  <si>
    <t>KENWAX HEAVY NEUTRAL SLACK WAX</t>
  </si>
  <si>
    <t>4577</t>
  </si>
  <si>
    <t>KENDEX MNE</t>
  </si>
  <si>
    <t>8201</t>
  </si>
  <si>
    <t>6 OIL</t>
  </si>
  <si>
    <t>4107</t>
  </si>
  <si>
    <t>KENSOL 17</t>
  </si>
  <si>
    <t>4313</t>
  </si>
  <si>
    <t>KENDEX 0842</t>
  </si>
  <si>
    <t>9713</t>
  </si>
  <si>
    <t>No.2 Diesel-Hydro Charge</t>
  </si>
  <si>
    <t>Sold as-is</t>
  </si>
  <si>
    <t>No demand row - it leaves by being lifted as-is, unlimited. Modelled today as finished diesel less $0.60/gal; an absolute here retires that.</t>
  </si>
  <si>
    <t>4105</t>
  </si>
  <si>
    <t>KENSOL 48 UNHT</t>
  </si>
  <si>
    <t>9711</t>
  </si>
  <si>
    <t>No demand this window, but sellable and can be downgraded to diesel - that decision cannot be priced without its value.</t>
  </si>
  <si>
    <t>9712</t>
  </si>
  <si>
    <t>KENSOL 50 UNHT</t>
  </si>
  <si>
    <t>9116</t>
  </si>
  <si>
    <t>WAXY LIGHT NEUTRAL</t>
  </si>
  <si>
    <t>9718</t>
  </si>
  <si>
    <t>GASOLINE</t>
  </si>
  <si>
    <t>Gasoline blending pool</t>
  </si>
  <si>
    <t>Downgrade outlet</t>
  </si>
  <si>
    <t>NEVER PRICED, and the only outlet with no product behind it. This is the value of platformate and isomerate - 4.2 M gal, 27% of all demand. Highest-leverage number in the file.</t>
  </si>
  <si>
    <t>8221</t>
  </si>
  <si>
    <t>Cat cracker feed</t>
  </si>
  <si>
    <t>Where 4449 and 4451 go when downgraded. A real product with no demand of its own, so it needs a price here.</t>
  </si>
  <si>
    <t>Netbacks for the scheduling model</t>
  </si>
  <si>
    <t>Fill in column C only - gross profit per gallon. Everything else is context.</t>
  </si>
  <si>
    <t>Price the code in column A</t>
  </si>
  <si>
    <t>It is not always the code the model tracks. Five products are one oil under two codes: a stream code inside the plant and a grade code on the invoice. Column A is the grade, column K is the stream. 9704 is Kendex 0150 UNHT as a stream and 4305 as a grade - price 4305.</t>
  </si>
  <si>
    <t>Ratios matter more than levels</t>
  </si>
  <si>
    <t>The model chooses which gallon to give up, so an error applied to everything changes the reported profit and not the schedule. An error in one product relative to the others changes the schedule. Partial is fine - the rows are ordered by volume, and the first 11 cover 80% of demand.</t>
  </si>
  <si>
    <t>Negatives are fine</t>
  </si>
  <si>
    <t>#6 oil comes in at -$0.32/gal, already filled in. It sells below the crude it came from, which makes downgrading to it far more expensive than the $0.50/gal the model assumes today.</t>
  </si>
  <si>
    <t>Only two rows are outlets rather than products</t>
  </si>
  <si>
    <t>A downgrade turns the product into whatever the outlet receives, so the outlet's value is that product's value. #6 oil lands in 8201 and diesel lands in 9713, both of which already have rows - pricing the outlet separately would be the same number twice. Only the cat cracker feed (8221, a product with no demand) and gasoline (no product in the workbook at all) need rows of their own.</t>
  </si>
  <si>
    <t>Two products are missing on purpose</t>
  </si>
  <si>
    <t>Platformate (9511) and isomerate (1128) have no row. Their demand is the E10 gasoline pull wearing their codes, split 75/25, so the GASOLINE row prices both. Giving them separate prices would invent a customer who does not exist.</t>
  </si>
  <si>
    <t>What arrives with these numbers</t>
  </si>
  <si>
    <t>The objective becomes margin rather than avoided cost. The model can then answer whether running harder makes money, price the diesel charge trade properly - process it or lift it as-is - and value end-of-window inventory at what it is worth instead of a placeholder.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</si>
</sst>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Red]\(&quot;$&quot;#,##0.00\)"/>
    <numFmt numFmtId="165" formatCode="0.0%"/>
  </numFmts>
  <fonts count="6" x14ac:knownFonts="1">
    <font>
      <sz val="11"/>
      <color theme="1"/>
      <name val="Calibri"/>
      <family val="2"/>
      <scheme val="minor"/>
    </font>
    <font>
      <b/>
      <sz val="10"/>
      <color rgb="FFFFFFFF"/>
      <name val="Calibri"/>
    </font>
    <font>
      <b/>
      <sz val="10"/>
      <name val="Calibri"/>
    </font>
    <font>
      <sz val="10"/>
      <name val="Calibri"/>
    </font>
    <font>
      <b/>
      <sz val="15"/>
      <color rgb="FF1F3B4D"/>
      <name val="Calibri"/>
    </font>
    <font>
      <b/>
      <sz val="11"/>
      <color rgb="FF1F3B4D"/>
      <name val="Calibri"/>
    </font>
  </fonts>
  <fills count="5">
    <fill>
      <patternFill patternType="none"/>
    </fill>
    <fill>
      <patternFill patternType="gray125"/>
    </fill>
    <fill>
      <patternFill patternType="solid">
        <fgColor rgb="FF1F3B4D"/>
      </patternFill>
    </fill>
    <fill>
      <patternFill patternType="solid">
        <fgColor rgb="FFF2F5F7"/>
      </patternFill>
    </fill>
    <fill>
      <patternFill patternType="solid">
        <fgColor rgb="FFFFF3C4"/>
      </patternFill>
    </fill>
  </fills>
  <borders count="2">
    <border>
      <left/>
      <right/>
      <top/>
      <bottom/>
      <diagonal/>
    </border>
    <border>
      <left style="medium">
        <color rgb="FFB7791F"/>
      </left>
      <right style="medium">
        <color rgb="FFB7791F"/>
      </right>
      <top style="thin">
        <color rgb="FFC8D0D6"/>
      </top>
      <bottom style="thin">
        <color rgb="FFC8D0D6"/>
      </bottom>
      <diagonal/>
    </border>
  </borders>
  <cellStyleXfs count="1">
    <xf numFmtId="0" fontId="0" fillId="0" borderId="0"/>
  </cellStyleXfs>
  <cellXfs count="16">
    <xf numFmtId="0" fontId="0" fillId="0" borderId="0" xfId="0"/>
    <xf numFmtId="0" fontId="1" fillId="2" borderId="0" xfId="0" applyFont="1" applyFill="1" applyAlignment="1">
      <alignment horizontal="center" vertical="center" wrapText="1"/>
    </xf>
    <xf numFmtId="0" fontId="2" fillId="3" borderId="0" xfId="0" applyFont="1" applyFill="1" applyAlignment="1">
      <alignment horizontal="left" vertical="top"/>
    </xf>
    <xf numFmtId="0" fontId="3" fillId="3" borderId="0" xfId="0" applyFont="1" applyFill="1" applyAlignment="1">
      <alignment horizontal="left" vertical="top"/>
    </xf>
    <xf numFmtId="164" fontId="3" fillId="4" borderId="1" xfId="0" applyNumberFormat="1" applyFont="1" applyFill="1" applyBorder="1" applyAlignment="1">
      <alignment horizontal="right" vertical="top"/>
    </xf>
    <xf numFmtId="3" fontId="3" fillId="3" borderId="0" xfId="0" applyNumberFormat="1" applyFont="1" applyFill="1" applyAlignment="1">
      <alignment horizontal="right" vertical="top"/>
    </xf>
    <xf numFmtId="165" fontId="3" fillId="3" borderId="0" xfId="0" applyNumberFormat="1" applyFont="1" applyFill="1" applyAlignment="1">
      <alignment horizontal="right" vertical="top"/>
    </xf>
    <xf numFmtId="0" fontId="3" fillId="3" borderId="0" xfId="0" applyFont="1" applyFill="1" applyAlignment="1">
      <alignment horizontal="left" vertical="top" wrapText="1"/>
    </xf>
    <xf numFmtId="0" fontId="2" fillId="0" borderId="0" xfId="0" applyFont="1" applyAlignment="1">
      <alignment horizontal="left" vertical="top"/>
    </xf>
    <xf numFmtId="0" fontId="3" fillId="0" borderId="0" xfId="0" applyFont="1" applyAlignment="1">
      <alignment horizontal="left" vertical="top"/>
    </xf>
    <xf numFmtId="3" fontId="3" fillId="0" borderId="0" xfId="0" applyNumberFormat="1" applyFont="1" applyAlignment="1">
      <alignment horizontal="right" vertical="top"/>
    </xf>
    <xf numFmtId="165" fontId="3" fillId="0" borderId="0" xfId="0" applyNumberFormat="1" applyFont="1" applyAlignment="1">
      <alignment horizontal="right" vertical="top"/>
    </xf>
    <xf numFmtId="0" fontId="3" fillId="0" borderId="0" xfId="0" applyFont="1" applyAlignment="1">
      <alignment horizontal="left" vertical="top" wrapText="1"/>
    </xf>
    <xf numFmtId="0" fontId="4" fillId="0" borderId="0" xfId="0" applyFont="1"/>
    <xf numFmtId="0" fontId="3" fillId="0" borderId="0" xfId="0" applyFont="1" applyAlignment="1">
      <alignment vertical="top" wrapText="1"/>
    </xf>
    <xf numFmtId="0" fontId="5"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2"/>
  <sheetViews>
    <sheetView tabSelected="1" workbookViewId="0">
      <pane xSplit="3" ySplit="1" topLeftCell="D21" activePane="bottomRight" state="frozen"/>
      <selection pane="topRight"/>
      <selection pane="bottomLeft"/>
      <selection pane="bottomRight" activeCell="C28" sqref="C28"/>
    </sheetView>
  </sheetViews>
  <sheetFormatPr defaultRowHeight="15" x14ac:dyDescent="0.25"/>
  <cols>
    <col min="1" max="1" width="13" customWidth="1"/>
    <col min="2" max="2" width="34" customWidth="1"/>
    <col min="3" max="3" width="17" customWidth="1"/>
    <col min="4" max="4" width="12" customWidth="1"/>
    <col min="5" max="5" width="17" customWidth="1"/>
    <col min="6" max="6" width="14" customWidth="1"/>
    <col min="7" max="7" width="16" customWidth="1"/>
    <col min="8" max="8" width="15" customWidth="1"/>
    <col min="9" max="9" width="12" customWidth="1"/>
    <col min="10" max="10" width="13" customWidth="1"/>
    <col min="11" max="11" width="12" customWidth="1"/>
    <col min="12" max="12" width="74" customWidth="1"/>
  </cols>
  <sheetData>
    <row r="1" spans="1:12" ht="33.950000000000003" customHeight="1"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s="2" t="s">
        <v>12</v>
      </c>
      <c r="B2" s="3" t="s">
        <v>13</v>
      </c>
      <c r="C2" s="4">
        <v>0.8</v>
      </c>
      <c r="D2" s="3" t="s">
        <v>1</v>
      </c>
      <c r="E2" s="5">
        <v>2940000</v>
      </c>
      <c r="F2" s="5"/>
      <c r="G2" s="5">
        <v>2940000</v>
      </c>
      <c r="H2" s="5"/>
      <c r="I2" s="6">
        <v>0.1878179954949987</v>
      </c>
      <c r="J2" s="6">
        <v>0.38905156209678288</v>
      </c>
      <c r="K2" s="3" t="s">
        <v>12</v>
      </c>
      <c r="L2" s="7"/>
    </row>
    <row r="3" spans="1:12" x14ac:dyDescent="0.25">
      <c r="A3" s="8" t="s">
        <v>14</v>
      </c>
      <c r="B3" s="9" t="s">
        <v>15</v>
      </c>
      <c r="C3" s="4">
        <v>2.9</v>
      </c>
      <c r="D3" s="9" t="s">
        <v>1</v>
      </c>
      <c r="E3" s="10">
        <v>1011899.464128327</v>
      </c>
      <c r="F3" s="10">
        <v>540000</v>
      </c>
      <c r="G3" s="10">
        <v>16129.032258064521</v>
      </c>
      <c r="H3" s="10">
        <v>455770.4318702629</v>
      </c>
      <c r="I3" s="11">
        <v>6.4643853399675419E-2</v>
      </c>
      <c r="J3" s="11">
        <v>0.52077327103038651</v>
      </c>
      <c r="K3" s="9" t="s">
        <v>16</v>
      </c>
      <c r="L3" s="12" t="s">
        <v>17</v>
      </c>
    </row>
    <row r="4" spans="1:12" x14ac:dyDescent="0.25">
      <c r="A4" s="2" t="s">
        <v>18</v>
      </c>
      <c r="B4" s="3" t="s">
        <v>19</v>
      </c>
      <c r="C4" s="4">
        <v>1.52</v>
      </c>
      <c r="D4" s="3" t="s">
        <v>1</v>
      </c>
      <c r="E4" s="5">
        <v>935245.90163934382</v>
      </c>
      <c r="F4" s="5">
        <v>4006</v>
      </c>
      <c r="G4" s="5">
        <v>896813.67213114712</v>
      </c>
      <c r="H4" s="5">
        <v>34426.229508196717</v>
      </c>
      <c r="I4" s="6">
        <v>5.9746942360821169E-2</v>
      </c>
      <c r="J4" s="6">
        <v>0.58052021339120763</v>
      </c>
      <c r="K4" s="3" t="s">
        <v>18</v>
      </c>
      <c r="L4" s="7"/>
    </row>
    <row r="5" spans="1:12" x14ac:dyDescent="0.25">
      <c r="A5" s="8" t="s">
        <v>20</v>
      </c>
      <c r="B5" s="9" t="s">
        <v>21</v>
      </c>
      <c r="C5" s="4"/>
      <c r="D5" s="9" t="s">
        <v>1</v>
      </c>
      <c r="E5" s="10">
        <v>888426.80645161285</v>
      </c>
      <c r="F5" s="10">
        <v>817201</v>
      </c>
      <c r="G5" s="10">
        <v>71225.806451612909</v>
      </c>
      <c r="H5" s="10"/>
      <c r="I5" s="11">
        <v>5.6755966643457507E-2</v>
      </c>
      <c r="J5" s="11">
        <v>0.63727618003466513</v>
      </c>
      <c r="K5" s="9" t="s">
        <v>20</v>
      </c>
      <c r="L5" s="12"/>
    </row>
    <row r="6" spans="1:12" x14ac:dyDescent="0.25">
      <c r="A6" s="2" t="s">
        <v>22</v>
      </c>
      <c r="B6" s="3" t="s">
        <v>23</v>
      </c>
      <c r="C6" s="4">
        <v>3.1</v>
      </c>
      <c r="D6" s="3" t="s">
        <v>1</v>
      </c>
      <c r="E6" s="5">
        <v>687741.20742111746</v>
      </c>
      <c r="F6" s="5">
        <v>266839.59999999998</v>
      </c>
      <c r="G6" s="5">
        <v>232960.37526881709</v>
      </c>
      <c r="H6" s="5">
        <v>187941.23215230051</v>
      </c>
      <c r="I6" s="6">
        <v>4.3935433672498088E-2</v>
      </c>
      <c r="J6" s="6">
        <v>0.68121161370716321</v>
      </c>
      <c r="K6" s="3" t="s">
        <v>22</v>
      </c>
      <c r="L6" s="7"/>
    </row>
    <row r="7" spans="1:12" x14ac:dyDescent="0.25">
      <c r="A7" s="8" t="s">
        <v>24</v>
      </c>
      <c r="B7" s="9" t="s">
        <v>25</v>
      </c>
      <c r="C7" s="4">
        <v>1.52</v>
      </c>
      <c r="D7" s="9" t="s">
        <v>1</v>
      </c>
      <c r="E7" s="10">
        <v>607147.54098360613</v>
      </c>
      <c r="F7" s="10">
        <v>76000</v>
      </c>
      <c r="G7" s="10">
        <v>531147.54098360613</v>
      </c>
      <c r="H7" s="10"/>
      <c r="I7" s="11">
        <v>3.8786814325598107E-2</v>
      </c>
      <c r="J7" s="11">
        <v>0.71999842803276126</v>
      </c>
      <c r="K7" s="9" t="s">
        <v>24</v>
      </c>
      <c r="L7" s="12"/>
    </row>
    <row r="8" spans="1:12" x14ac:dyDescent="0.25">
      <c r="A8" s="2" t="s">
        <v>26</v>
      </c>
      <c r="B8" s="3" t="s">
        <v>27</v>
      </c>
      <c r="C8" s="4">
        <v>1.6</v>
      </c>
      <c r="D8" s="3" t="s">
        <v>1</v>
      </c>
      <c r="E8" s="5">
        <v>464954.16393442632</v>
      </c>
      <c r="F8" s="5">
        <v>195684</v>
      </c>
      <c r="G8" s="5">
        <v>269270.16393442632</v>
      </c>
      <c r="H8" s="5"/>
      <c r="I8" s="6">
        <v>2.9702979274563581E-2</v>
      </c>
      <c r="J8" s="6">
        <v>0.74970140730732482</v>
      </c>
      <c r="K8" s="3" t="s">
        <v>26</v>
      </c>
      <c r="L8" s="7"/>
    </row>
    <row r="9" spans="1:12" x14ac:dyDescent="0.25">
      <c r="A9" s="8" t="s">
        <v>28</v>
      </c>
      <c r="B9" s="9" t="s">
        <v>29</v>
      </c>
      <c r="C9" s="4">
        <v>3.1</v>
      </c>
      <c r="D9" s="9" t="s">
        <v>1</v>
      </c>
      <c r="E9" s="10">
        <v>461376.34408602171</v>
      </c>
      <c r="F9" s="10"/>
      <c r="G9" s="10"/>
      <c r="H9" s="10">
        <v>461376.34408602171</v>
      </c>
      <c r="I9" s="11">
        <v>2.947441500511816E-2</v>
      </c>
      <c r="J9" s="11">
        <v>0.77917582231244298</v>
      </c>
      <c r="K9" s="9" t="s">
        <v>28</v>
      </c>
      <c r="L9" s="12"/>
    </row>
    <row r="10" spans="1:12" x14ac:dyDescent="0.25">
      <c r="A10" s="2" t="s">
        <v>30</v>
      </c>
      <c r="B10" s="3" t="s">
        <v>31</v>
      </c>
      <c r="C10" s="4">
        <v>3</v>
      </c>
      <c r="D10" s="3" t="s">
        <v>1</v>
      </c>
      <c r="E10" s="5">
        <v>419415.96562665241</v>
      </c>
      <c r="F10" s="5">
        <v>114977</v>
      </c>
      <c r="G10" s="5">
        <v>294111.0967741934</v>
      </c>
      <c r="H10" s="5">
        <v>10327.868852459011</v>
      </c>
      <c r="I10" s="6">
        <v>2.6793831953264329E-2</v>
      </c>
      <c r="J10" s="6">
        <v>0.80596965426570732</v>
      </c>
      <c r="K10" s="3" t="s">
        <v>30</v>
      </c>
      <c r="L10" s="7"/>
    </row>
    <row r="11" spans="1:12" x14ac:dyDescent="0.25">
      <c r="A11" s="8" t="s">
        <v>32</v>
      </c>
      <c r="B11" s="9" t="s">
        <v>33</v>
      </c>
      <c r="C11" s="4">
        <v>2.88</v>
      </c>
      <c r="D11" s="9" t="s">
        <v>1</v>
      </c>
      <c r="E11" s="10">
        <v>409692.42573308642</v>
      </c>
      <c r="F11" s="10">
        <v>99172.400000000009</v>
      </c>
      <c r="G11" s="10">
        <v>65603.3</v>
      </c>
      <c r="H11" s="10">
        <v>244916.72573308641</v>
      </c>
      <c r="I11" s="11">
        <v>2.6172656520636699E-2</v>
      </c>
      <c r="J11" s="11">
        <v>0.83214231078634404</v>
      </c>
      <c r="K11" s="9" t="s">
        <v>34</v>
      </c>
      <c r="L11" s="12" t="s">
        <v>35</v>
      </c>
    </row>
    <row r="12" spans="1:12" x14ac:dyDescent="0.25">
      <c r="A12" s="2" t="s">
        <v>36</v>
      </c>
      <c r="B12" s="3" t="s">
        <v>37</v>
      </c>
      <c r="C12" s="4">
        <v>3.1</v>
      </c>
      <c r="D12" s="3" t="s">
        <v>1</v>
      </c>
      <c r="E12" s="5">
        <v>383090.95716552058</v>
      </c>
      <c r="F12" s="5">
        <v>440</v>
      </c>
      <c r="G12" s="5">
        <v>382650.95716552058</v>
      </c>
      <c r="H12" s="5"/>
      <c r="I12" s="6">
        <v>2.4473257029621932E-2</v>
      </c>
      <c r="J12" s="6">
        <v>0.85661556781596593</v>
      </c>
      <c r="K12" s="3" t="s">
        <v>36</v>
      </c>
      <c r="L12" s="7"/>
    </row>
    <row r="13" spans="1:12" x14ac:dyDescent="0.25">
      <c r="A13" s="8" t="s">
        <v>38</v>
      </c>
      <c r="B13" s="9" t="s">
        <v>39</v>
      </c>
      <c r="C13" s="4">
        <v>5.5</v>
      </c>
      <c r="D13" s="9" t="s">
        <v>1</v>
      </c>
      <c r="E13" s="10">
        <v>354819.91362594772</v>
      </c>
      <c r="F13" s="10">
        <v>120000</v>
      </c>
      <c r="G13" s="10">
        <v>219578.61801515971</v>
      </c>
      <c r="H13" s="10">
        <v>15241.295610787951</v>
      </c>
      <c r="I13" s="11">
        <v>2.2667198958821109E-2</v>
      </c>
      <c r="J13" s="11">
        <v>0.87928276677478712</v>
      </c>
      <c r="K13" s="9" t="s">
        <v>38</v>
      </c>
      <c r="L13" s="12"/>
    </row>
    <row r="14" spans="1:12" x14ac:dyDescent="0.25">
      <c r="A14" s="2" t="s">
        <v>40</v>
      </c>
      <c r="B14" s="3" t="s">
        <v>41</v>
      </c>
      <c r="C14" s="4">
        <v>6</v>
      </c>
      <c r="D14" s="3" t="s">
        <v>1</v>
      </c>
      <c r="E14" s="5">
        <v>306284.34426229511</v>
      </c>
      <c r="F14" s="5">
        <v>104645</v>
      </c>
      <c r="G14" s="5">
        <v>201639.34426229511</v>
      </c>
      <c r="H14" s="5"/>
      <c r="I14" s="6">
        <v>1.9566568568314409E-2</v>
      </c>
      <c r="J14" s="6">
        <v>0.89884933534310141</v>
      </c>
      <c r="K14" s="3" t="s">
        <v>40</v>
      </c>
      <c r="L14" s="7"/>
    </row>
    <row r="15" spans="1:12" x14ac:dyDescent="0.25">
      <c r="A15" s="8" t="s">
        <v>42</v>
      </c>
      <c r="B15" s="9" t="s">
        <v>43</v>
      </c>
      <c r="C15" s="4">
        <v>3</v>
      </c>
      <c r="D15" s="9" t="s">
        <v>1</v>
      </c>
      <c r="E15" s="10">
        <v>284072.25875483872</v>
      </c>
      <c r="F15" s="10">
        <v>92427</v>
      </c>
      <c r="G15" s="10">
        <v>89677.41935483877</v>
      </c>
      <c r="H15" s="10">
        <v>101967.8393999999</v>
      </c>
      <c r="I15" s="11">
        <v>1.8147578984717819E-2</v>
      </c>
      <c r="J15" s="11">
        <v>0.91699691432781927</v>
      </c>
      <c r="K15" s="9" t="s">
        <v>44</v>
      </c>
      <c r="L15" s="12" t="s">
        <v>45</v>
      </c>
    </row>
    <row r="16" spans="1:12" x14ac:dyDescent="0.25">
      <c r="A16" s="2" t="s">
        <v>46</v>
      </c>
      <c r="B16" s="3" t="s">
        <v>47</v>
      </c>
      <c r="C16" s="4">
        <v>5</v>
      </c>
      <c r="D16" s="3" t="s">
        <v>1</v>
      </c>
      <c r="E16" s="5">
        <v>270609.96509783168</v>
      </c>
      <c r="F16" s="5">
        <v>31904</v>
      </c>
      <c r="G16" s="5">
        <v>127193.0548210822</v>
      </c>
      <c r="H16" s="5">
        <v>111512.91027674951</v>
      </c>
      <c r="I16" s="6">
        <v>1.728755823321303E-2</v>
      </c>
      <c r="J16" s="6">
        <v>0.93428447256103231</v>
      </c>
      <c r="K16" s="3" t="s">
        <v>46</v>
      </c>
      <c r="L16" s="7"/>
    </row>
    <row r="17" spans="1:12" x14ac:dyDescent="0.25">
      <c r="A17" s="8" t="s">
        <v>48</v>
      </c>
      <c r="B17" s="9" t="s">
        <v>49</v>
      </c>
      <c r="C17" s="4">
        <v>1.52</v>
      </c>
      <c r="D17" s="9" t="s">
        <v>1</v>
      </c>
      <c r="E17" s="10">
        <v>187865.57377049181</v>
      </c>
      <c r="F17" s="10">
        <v>51800</v>
      </c>
      <c r="G17" s="10">
        <v>101639.3442622951</v>
      </c>
      <c r="H17" s="10">
        <v>34426.229508196717</v>
      </c>
      <c r="I17" s="11">
        <v>1.2001542683024349E-2</v>
      </c>
      <c r="J17" s="11">
        <v>0.94628601524405653</v>
      </c>
      <c r="K17" s="9" t="s">
        <v>48</v>
      </c>
      <c r="L17" s="12"/>
    </row>
    <row r="18" spans="1:12" x14ac:dyDescent="0.25">
      <c r="A18" s="2" t="s">
        <v>50</v>
      </c>
      <c r="B18" s="3" t="s">
        <v>51</v>
      </c>
      <c r="C18" s="4">
        <v>2.8</v>
      </c>
      <c r="D18" s="3" t="s">
        <v>1</v>
      </c>
      <c r="E18" s="5">
        <v>154163.1475409836</v>
      </c>
      <c r="F18" s="5">
        <v>62032</v>
      </c>
      <c r="G18" s="5">
        <v>92131.147540983642</v>
      </c>
      <c r="H18" s="5"/>
      <c r="I18" s="6">
        <v>9.8485079422949914E-3</v>
      </c>
      <c r="J18" s="6">
        <v>0.9561345231863515</v>
      </c>
      <c r="K18" s="3" t="s">
        <v>50</v>
      </c>
      <c r="L18" s="7"/>
    </row>
    <row r="19" spans="1:12" x14ac:dyDescent="0.25">
      <c r="A19" s="8" t="s">
        <v>52</v>
      </c>
      <c r="B19" s="9" t="s">
        <v>53</v>
      </c>
      <c r="C19" s="4">
        <v>2.2999999999999998</v>
      </c>
      <c r="D19" s="9" t="s">
        <v>1</v>
      </c>
      <c r="E19" s="10">
        <v>152747.54098360651</v>
      </c>
      <c r="F19" s="10">
        <v>53600</v>
      </c>
      <c r="G19" s="10">
        <v>99147.540983606494</v>
      </c>
      <c r="H19" s="10"/>
      <c r="I19" s="11">
        <v>9.758073797391539E-3</v>
      </c>
      <c r="J19" s="11">
        <v>0.96589259698374308</v>
      </c>
      <c r="K19" s="9" t="s">
        <v>52</v>
      </c>
      <c r="L19" s="12"/>
    </row>
    <row r="20" spans="1:12" x14ac:dyDescent="0.25">
      <c r="A20" s="2" t="s">
        <v>54</v>
      </c>
      <c r="B20" s="3" t="s">
        <v>55</v>
      </c>
      <c r="C20" s="4">
        <v>2.5</v>
      </c>
      <c r="D20" s="3" t="s">
        <v>1</v>
      </c>
      <c r="E20" s="5">
        <v>149956.67741935479</v>
      </c>
      <c r="F20" s="5">
        <v>107247</v>
      </c>
      <c r="G20" s="5">
        <v>42709.677419354841</v>
      </c>
      <c r="H20" s="5"/>
      <c r="I20" s="6">
        <v>9.5797831850317535E-3</v>
      </c>
      <c r="J20" s="6">
        <v>0.9754723801687748</v>
      </c>
      <c r="K20" s="3" t="s">
        <v>54</v>
      </c>
      <c r="L20" s="7"/>
    </row>
    <row r="21" spans="1:12" x14ac:dyDescent="0.25">
      <c r="A21" s="8" t="s">
        <v>56</v>
      </c>
      <c r="B21" s="9" t="s">
        <v>57</v>
      </c>
      <c r="C21" s="4">
        <v>1.1000000000000001</v>
      </c>
      <c r="D21" s="9" t="s">
        <v>1</v>
      </c>
      <c r="E21" s="10">
        <v>141129.34344262289</v>
      </c>
      <c r="F21" s="10">
        <v>22112.95</v>
      </c>
      <c r="G21" s="10">
        <v>119016.3934426229</v>
      </c>
      <c r="H21" s="10"/>
      <c r="I21" s="11">
        <v>9.0158606771832198E-3</v>
      </c>
      <c r="J21" s="11">
        <v>0.98448824084595798</v>
      </c>
      <c r="K21" s="9" t="s">
        <v>56</v>
      </c>
      <c r="L21" s="12"/>
    </row>
    <row r="22" spans="1:12" x14ac:dyDescent="0.25">
      <c r="A22" s="2" t="s">
        <v>58</v>
      </c>
      <c r="B22" s="3" t="s">
        <v>59</v>
      </c>
      <c r="C22" s="4">
        <v>0.9</v>
      </c>
      <c r="D22" s="3" t="s">
        <v>1</v>
      </c>
      <c r="E22" s="5">
        <v>125727.3333333333</v>
      </c>
      <c r="F22" s="5">
        <v>52394</v>
      </c>
      <c r="G22" s="5">
        <v>49234.97267759563</v>
      </c>
      <c r="H22" s="5">
        <v>24098.360655737732</v>
      </c>
      <c r="I22" s="6">
        <v>8.0319237161898625E-3</v>
      </c>
      <c r="J22" s="6">
        <v>0.99252016456214787</v>
      </c>
      <c r="K22" s="3" t="s">
        <v>58</v>
      </c>
      <c r="L22" s="7"/>
    </row>
    <row r="23" spans="1:12" x14ac:dyDescent="0.25">
      <c r="A23" s="8" t="s">
        <v>60</v>
      </c>
      <c r="B23" s="9" t="s">
        <v>61</v>
      </c>
      <c r="C23" s="4">
        <v>1.2</v>
      </c>
      <c r="D23" s="9" t="s">
        <v>1</v>
      </c>
      <c r="E23" s="10">
        <v>72118.032786885276</v>
      </c>
      <c r="F23" s="10">
        <v>7200</v>
      </c>
      <c r="G23" s="10">
        <v>64918.032786885269</v>
      </c>
      <c r="H23" s="10"/>
      <c r="I23" s="11">
        <v>4.6071647473045528E-3</v>
      </c>
      <c r="J23" s="11">
        <v>0.99712732930945247</v>
      </c>
      <c r="K23" s="9" t="s">
        <v>60</v>
      </c>
      <c r="L23" s="12"/>
    </row>
    <row r="24" spans="1:12" x14ac:dyDescent="0.25">
      <c r="A24" s="2" t="s">
        <v>62</v>
      </c>
      <c r="B24" s="3" t="s">
        <v>63</v>
      </c>
      <c r="C24" s="4">
        <v>-0.32</v>
      </c>
      <c r="D24" s="3" t="s">
        <v>1</v>
      </c>
      <c r="E24" s="5">
        <v>25000</v>
      </c>
      <c r="F24" s="5">
        <v>25000</v>
      </c>
      <c r="G24" s="5"/>
      <c r="H24" s="5"/>
      <c r="I24" s="6">
        <v>1.5970917984268591E-3</v>
      </c>
      <c r="J24" s="6">
        <v>0.99872442110787929</v>
      </c>
      <c r="K24" s="3" t="s">
        <v>62</v>
      </c>
      <c r="L24" s="7"/>
    </row>
    <row r="25" spans="1:12" x14ac:dyDescent="0.25">
      <c r="A25" s="8" t="s">
        <v>64</v>
      </c>
      <c r="B25" s="9" t="s">
        <v>65</v>
      </c>
      <c r="C25" s="4">
        <v>3</v>
      </c>
      <c r="D25" s="9" t="s">
        <v>1</v>
      </c>
      <c r="E25" s="10">
        <v>17213.114754098369</v>
      </c>
      <c r="F25" s="10"/>
      <c r="G25" s="10">
        <v>17213.114754098369</v>
      </c>
      <c r="H25" s="10"/>
      <c r="I25" s="11">
        <v>1.099636975966035E-3</v>
      </c>
      <c r="J25" s="11">
        <v>0.99982405808384534</v>
      </c>
      <c r="K25" s="9" t="s">
        <v>64</v>
      </c>
      <c r="L25" s="12"/>
    </row>
    <row r="26" spans="1:12" x14ac:dyDescent="0.25">
      <c r="A26" s="2" t="s">
        <v>66</v>
      </c>
      <c r="B26" s="3" t="s">
        <v>67</v>
      </c>
      <c r="C26" s="4">
        <v>6</v>
      </c>
      <c r="D26" s="3" t="s">
        <v>1</v>
      </c>
      <c r="E26" s="5">
        <v>2754.0983606557388</v>
      </c>
      <c r="F26" s="5"/>
      <c r="G26" s="5">
        <v>2754.0983606557388</v>
      </c>
      <c r="H26" s="5"/>
      <c r="I26" s="6">
        <v>1.7594191615456561E-4</v>
      </c>
      <c r="J26" s="6">
        <v>0.99999999999999989</v>
      </c>
      <c r="K26" s="3" t="s">
        <v>66</v>
      </c>
      <c r="L26" s="7"/>
    </row>
    <row r="27" spans="1:12" ht="25.5" x14ac:dyDescent="0.25">
      <c r="A27" s="8" t="s">
        <v>68</v>
      </c>
      <c r="B27" s="9" t="s">
        <v>69</v>
      </c>
      <c r="C27" s="4">
        <v>0.35</v>
      </c>
      <c r="D27" s="9" t="s">
        <v>70</v>
      </c>
      <c r="E27" s="10"/>
      <c r="F27" s="10"/>
      <c r="G27" s="10"/>
      <c r="H27" s="10"/>
      <c r="I27" s="11"/>
      <c r="J27" s="11"/>
      <c r="K27" s="9" t="s">
        <v>68</v>
      </c>
      <c r="L27" s="12" t="s">
        <v>71</v>
      </c>
    </row>
    <row r="28" spans="1:12" ht="25.5" x14ac:dyDescent="0.25">
      <c r="A28" s="2" t="s">
        <v>72</v>
      </c>
      <c r="B28" s="3" t="s">
        <v>73</v>
      </c>
      <c r="C28" s="4"/>
      <c r="D28" s="3" t="s">
        <v>70</v>
      </c>
      <c r="E28" s="5"/>
      <c r="F28" s="5"/>
      <c r="G28" s="5"/>
      <c r="H28" s="5"/>
      <c r="I28" s="6"/>
      <c r="J28" s="6"/>
      <c r="K28" s="3" t="s">
        <v>74</v>
      </c>
      <c r="L28" s="7" t="s">
        <v>75</v>
      </c>
    </row>
    <row r="29" spans="1:12" ht="25.5" x14ac:dyDescent="0.25">
      <c r="A29" s="8" t="s">
        <v>76</v>
      </c>
      <c r="B29" s="9" t="s">
        <v>77</v>
      </c>
      <c r="C29" s="4"/>
      <c r="D29" s="9" t="s">
        <v>70</v>
      </c>
      <c r="E29" s="10"/>
      <c r="F29" s="10"/>
      <c r="G29" s="10"/>
      <c r="H29" s="10"/>
      <c r="I29" s="11"/>
      <c r="J29" s="11"/>
      <c r="K29" s="9" t="s">
        <v>76</v>
      </c>
      <c r="L29" s="12" t="s">
        <v>75</v>
      </c>
    </row>
    <row r="30" spans="1:12" ht="25.5" x14ac:dyDescent="0.25">
      <c r="A30" s="2" t="s">
        <v>78</v>
      </c>
      <c r="B30" s="3" t="s">
        <v>79</v>
      </c>
      <c r="C30" s="4"/>
      <c r="D30" s="3" t="s">
        <v>70</v>
      </c>
      <c r="E30" s="5"/>
      <c r="F30" s="5"/>
      <c r="G30" s="5"/>
      <c r="H30" s="5"/>
      <c r="I30" s="6"/>
      <c r="J30" s="6"/>
      <c r="K30" s="3" t="s">
        <v>80</v>
      </c>
      <c r="L30" s="7" t="s">
        <v>75</v>
      </c>
    </row>
    <row r="31" spans="1:12" ht="38.25" x14ac:dyDescent="0.25">
      <c r="A31" s="8" t="s">
        <v>81</v>
      </c>
      <c r="B31" s="9" t="s">
        <v>82</v>
      </c>
      <c r="C31" s="4">
        <v>0.5</v>
      </c>
      <c r="D31" s="9" t="s">
        <v>83</v>
      </c>
      <c r="E31" s="10"/>
      <c r="F31" s="10"/>
      <c r="G31" s="10"/>
      <c r="H31" s="10"/>
      <c r="I31" s="11"/>
      <c r="J31" s="11"/>
      <c r="K31" s="9"/>
      <c r="L31" s="12" t="s">
        <v>84</v>
      </c>
    </row>
    <row r="32" spans="1:12" ht="25.5" x14ac:dyDescent="0.25">
      <c r="A32" s="2" t="s">
        <v>85</v>
      </c>
      <c r="B32" s="3" t="s">
        <v>86</v>
      </c>
      <c r="C32" s="4">
        <v>-0.32</v>
      </c>
      <c r="D32" s="3" t="s">
        <v>83</v>
      </c>
      <c r="E32" s="5"/>
      <c r="F32" s="5"/>
      <c r="G32" s="5"/>
      <c r="H32" s="5"/>
      <c r="I32" s="6"/>
      <c r="J32" s="6"/>
      <c r="K32" s="3" t="s">
        <v>85</v>
      </c>
      <c r="L32" s="7" t="s">
        <v>87</v>
      </c>
    </row>
  </sheetData>
  <autoFilter ref="A1:L32" xr:uid="{00000000-0009-0000-0000-000000000000}"/>
  <dataValidations count="1">
    <dataValidation type="decimal" allowBlank="1" showInputMessage="1" showErrorMessage="1" errorTitle="Netback" error="Gross profit in $/gal. Negatives are fine - #6 oil is -0.32." sqref="C2:C32" xr:uid="{00000000-0002-0000-0000-000000000000}">
      <formula1>-50</formula1>
      <formula2>500</formula2>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
  <sheetViews>
    <sheetView workbookViewId="0"/>
  </sheetViews>
  <sheetFormatPr defaultRowHeight="15" x14ac:dyDescent="0.25"/>
  <cols>
    <col min="1" max="1" width="112" customWidth="1"/>
  </cols>
  <sheetData>
    <row r="1" spans="1:1" ht="26.1" customHeight="1" x14ac:dyDescent="0.3">
      <c r="A1" s="13" t="s">
        <v>88</v>
      </c>
    </row>
    <row r="2" spans="1:1" ht="14.1" customHeight="1" x14ac:dyDescent="0.25">
      <c r="A2" s="14" t="s">
        <v>89</v>
      </c>
    </row>
    <row r="3" spans="1:1" ht="14.1" customHeight="1" x14ac:dyDescent="0.25">
      <c r="A3" s="14"/>
    </row>
    <row r="4" spans="1:1" ht="20.100000000000001" customHeight="1" x14ac:dyDescent="0.25">
      <c r="A4" s="15" t="s">
        <v>90</v>
      </c>
    </row>
    <row r="5" spans="1:1" ht="39" customHeight="1" x14ac:dyDescent="0.25">
      <c r="A5" s="14" t="s">
        <v>91</v>
      </c>
    </row>
    <row r="6" spans="1:1" ht="14.1" customHeight="1" x14ac:dyDescent="0.25">
      <c r="A6" s="14"/>
    </row>
    <row r="7" spans="1:1" ht="20.100000000000001" customHeight="1" x14ac:dyDescent="0.25">
      <c r="A7" s="15" t="s">
        <v>92</v>
      </c>
    </row>
    <row r="8" spans="1:1" ht="39" customHeight="1" x14ac:dyDescent="0.25">
      <c r="A8" s="14" t="s">
        <v>93</v>
      </c>
    </row>
    <row r="9" spans="1:1" ht="14.1" customHeight="1" x14ac:dyDescent="0.25">
      <c r="A9" s="14"/>
    </row>
    <row r="10" spans="1:1" ht="20.100000000000001" customHeight="1" x14ac:dyDescent="0.25">
      <c r="A10" s="15" t="s">
        <v>94</v>
      </c>
    </row>
    <row r="11" spans="1:1" ht="26.1" customHeight="1" x14ac:dyDescent="0.25">
      <c r="A11" s="14" t="s">
        <v>95</v>
      </c>
    </row>
    <row r="12" spans="1:1" ht="14.1" customHeight="1" x14ac:dyDescent="0.25">
      <c r="A12" s="14"/>
    </row>
    <row r="13" spans="1:1" ht="20.100000000000001" customHeight="1" x14ac:dyDescent="0.25">
      <c r="A13" s="15" t="s">
        <v>96</v>
      </c>
    </row>
    <row r="14" spans="1:1" ht="51.95" customHeight="1" x14ac:dyDescent="0.25">
      <c r="A14" s="14" t="s">
        <v>97</v>
      </c>
    </row>
    <row r="15" spans="1:1" ht="14.1" customHeight="1" x14ac:dyDescent="0.25">
      <c r="A15" s="14"/>
    </row>
    <row r="16" spans="1:1" ht="20.100000000000001" customHeight="1" x14ac:dyDescent="0.25">
      <c r="A16" s="15" t="s">
        <v>98</v>
      </c>
    </row>
    <row r="17" spans="1:1" ht="39" customHeight="1" x14ac:dyDescent="0.25">
      <c r="A17" s="14" t="s">
        <v>99</v>
      </c>
    </row>
    <row r="18" spans="1:1" ht="14.1" customHeight="1" x14ac:dyDescent="0.25">
      <c r="A18" s="14"/>
    </row>
    <row r="19" spans="1:1" ht="20.100000000000001" customHeight="1" x14ac:dyDescent="0.25">
      <c r="A19" s="15" t="s">
        <v>100</v>
      </c>
    </row>
    <row r="20" spans="1:1" ht="39" customHeight="1" x14ac:dyDescent="0.25">
      <c r="A20" s="14" t="s">
        <v>101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Netbacks</vt:lpstr>
      <vt:lpstr>How to fill this 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Mike Spagnolo</cp:lastModifiedBy>
  <dcterms:created xsi:type="dcterms:W3CDTF">2026-08-14T00:39:15Z</dcterms:created>
  <dcterms:modified xsi:type="dcterms:W3CDTF">2026-08-14T02:33:10Z</dcterms:modified>
</cp:coreProperties>
</file>